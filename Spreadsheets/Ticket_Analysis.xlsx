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<sst xmlns="http://schemas.openxmlformats.org/spreadsheetml/2006/main" count="79" uniqueCount="60">
  <si>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</si>
  <si>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</si>
  <si>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</si>
  <si>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</si>
  <si>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</si>
  <si>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Same_Day_Flag</t>
  </si>
  <si>
    <t xml:space="preserve">Same_Hour_Flag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</si>
  <si>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</si>
  <si>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</si>
  <si>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</si>
  <si>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</si>
  <si>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</si>
  <si>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</si>
  <si>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</si>
  <si>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</si>
  <si>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</si>
  <si>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cms-002-abc</t>
  </si>
  <si>
    <t xml:space="preserve">abc-xyz-001</t>
  </si>
  <si>
    <t xml:space="preserve">2021-09-05 08:00:00</t>
  </si>
  <si>
    <t xml:space="preserve">2021-09-05 08:45:00</t>
  </si>
  <si>
    <t xml:space="preserve">cms-003-def</t>
  </si>
  <si>
    <t xml:space="preserve">def-uvw-002</t>
  </si>
  <si>
    <t xml:space="preserve">2021-09-10 10:30:00</t>
  </si>
  <si>
    <t xml:space="preserve">2021-09-10 11:20:00</t>
  </si>
  <si>
    <t xml:space="preserve">cms-004-ghi</t>
  </si>
  <si>
    <t xml:space="preserve">ghi-rst-003</t>
  </si>
  <si>
    <t xml:space="preserve">2021-09-12 14:00:00</t>
  </si>
  <si>
    <t xml:space="preserve">2021-09-13 09:00:00</t>
  </si>
  <si>
    <t xml:space="preserve">cms-005-jkl</t>
  </si>
  <si>
    <t xml:space="preserve">jkl-opq-004</t>
  </si>
  <si>
    <t xml:space="preserve">2021-10-01 09:15:00</t>
  </si>
  <si>
    <t xml:space="preserve">2021-10-01 09:55:00</t>
  </si>
  <si>
    <t xml:space="preserve">cms-006-mno</t>
  </si>
  <si>
    <t xml:space="preserve">mno-lmn-005</t>
  </si>
  <si>
    <t xml:space="preserve">2021-10-03 11:00:00</t>
  </si>
  <si>
    <t xml:space="preserve">2021-10-04 11:00:00</t>
  </si>
  <si>
    <t xml:space="preserve">cms-007-pqr</t>
  </si>
  <si>
    <t xml:space="preserve">pqr-ijk-006</t>
  </si>
  <si>
    <t xml:space="preserve">2021-10-07 15:30:00</t>
  </si>
  <si>
    <t xml:space="preserve">2021-10-07 15:58:00</t>
  </si>
  <si>
    <t xml:space="preserve">cms-008-stu</t>
  </si>
  <si>
    <t xml:space="preserve">feedback_at</t>
  </si>
  <si>
    <t xml:space="preserve">feedback_rating</t>
  </si>
  <si>
    <t xml:space="preserve">ticket_created_at (Q1 — INDEX/MATCH)</t>
  </si>
  <si>
    <t xml:space="preserve">2021-08-21 13:26:48</t>
  </si>
  <si>
    <t xml:space="preserve">2021-08-22 09:00:00</t>
  </si>
  <si>
    <t xml:space="preserve">2021-09-05 10:00:00</t>
  </si>
  <si>
    <t xml:space="preserve">2021-09-11 08:00:00</t>
  </si>
  <si>
    <t xml:space="preserve">2021-10-02 08:00:00</t>
  </si>
  <si>
    <t xml:space="preserve">2021-10-08 09:00:00</t>
  </si>
  <si>
    <t xml:space="preserve">Ticket Analysis — Outlet-wise Count</t>
  </si>
  <si>
    <t xml:space="preserve">Q2a — Tickets created AND closed on the SAME DAY</t>
  </si>
  <si>
    <t xml:space="preserve">Same-day count (COUNTIFS)</t>
  </si>
  <si>
    <t xml:space="preserve">Q2b — Tickets created AND closed in the SAME HOUR of the SAME DAY</t>
  </si>
  <si>
    <t xml:space="preserve">Same-hour count (COUNTIFS)</t>
  </si>
  <si>
    <t xml:space="preserve">Legend:</t>
  </si>
  <si>
    <t xml:space="preserve">Green cells = Excel formula (auto-calculated)</t>
  </si>
  <si>
    <t xml:space="preserve">Yellow cells = Formula pulling from another sheet</t>
  </si>
  <si>
    <t xml:space="preserve">Same_Day_Flag (ticket col F)  = IF(INT(created_at)=INT(closed_at), 1, 0)</t>
  </si>
  <si>
    <t xml:space="preserve">Same_Hour_Flag (ticket col G) = IF(same date AND HOUR(created)=HOUR(closed), 1, 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</si>
</sst>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s">
        <v>7</v>
      </c>
      <c r="B2" s="5" t="s">
        <v>8</v>
      </c>
      <c r="C2" s="5" t="s">
        <v>9</v>
      </c>
      <c r="D2" s="4" t="s">
        <v>10</v>
      </c>
      <c r="E2" s="4" t="s">
        <v>11</v>
      </c>
      <c r="F2" s="6" t="n">
        <f aca="false">IF(INT(B2)=INT(C2),1,0)</f>
        <v>0</v>
      </c>
      <c r="G2" s="6" t="n">
        <f aca="false">IF(INT(B2)=INT(C2),IF(HOUR(B2)=HOUR(C2),1,0),0)</f>
        <v>0</v>
      </c>
    </row>
    <row r="3" customFormat="false" ht="15" hidden="false" customHeight="false" outlineLevel="0" collapsed="false">
      <c r="A3" s="7" t="s">
        <v>12</v>
      </c>
      <c r="B3" s="8" t="s">
        <v>13</v>
      </c>
      <c r="C3" s="8" t="s">
        <v>14</v>
      </c>
      <c r="D3" s="7" t="s">
        <v>15</v>
      </c>
      <c r="E3" s="7" t="s">
        <v>16</v>
      </c>
      <c r="F3" s="6" t="n">
        <f aca="false">IF(INT(B3)=INT(C3),1,0)</f>
        <v>1</v>
      </c>
      <c r="G3" s="6" t="n">
        <f aca="false">IF(INT(B3)=INT(C3),IF(HOUR(B3)=HOUR(C3),1,0),0)</f>
        <v>0</v>
      </c>
    </row>
    <row r="4" customFormat="false" ht="15" hidden="false" customHeight="false" outlineLevel="0" collapsed="false">
      <c r="A4" s="4" t="s">
        <v>17</v>
      </c>
      <c r="B4" s="5" t="s">
        <v>18</v>
      </c>
      <c r="C4" s="5" t="s">
        <v>19</v>
      </c>
      <c r="D4" s="4" t="s">
        <v>10</v>
      </c>
      <c r="E4" s="4" t="s">
        <v>20</v>
      </c>
      <c r="F4" s="6" t="n">
        <f aca="false">IF(INT(B4)=INT(C4),1,0)</f>
        <v>1</v>
      </c>
      <c r="G4" s="6" t="n">
        <f aca="false">IF(INT(B4)=INT(C4),IF(HOUR(B4)=HOUR(C4),1,0),0)</f>
        <v>1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7" t="s">
        <v>15</v>
      </c>
      <c r="E5" s="7" t="s">
        <v>24</v>
      </c>
      <c r="F5" s="6" t="n">
        <f aca="false">IF(INT(B5)=INT(C5),1,0)</f>
        <v>1</v>
      </c>
      <c r="G5" s="6" t="n">
        <f aca="false">IF(INT(B5)=INT(C5),IF(HOUR(B5)=HOUR(C5),1,0),0)</f>
        <v>0</v>
      </c>
    </row>
    <row r="6" customFormat="false" ht="15" hidden="false" customHeight="false" outlineLevel="0" collapsed="false">
      <c r="A6" s="4" t="s">
        <v>25</v>
      </c>
      <c r="B6" s="5" t="s">
        <v>26</v>
      </c>
      <c r="C6" s="5" t="s">
        <v>27</v>
      </c>
      <c r="D6" s="4" t="s">
        <v>10</v>
      </c>
      <c r="E6" s="4" t="s">
        <v>28</v>
      </c>
      <c r="F6" s="6" t="n">
        <f aca="false">IF(INT(B6)=INT(C6),1,0)</f>
        <v>0</v>
      </c>
      <c r="G6" s="6" t="n">
        <f aca="false">IF(INT(B6)=INT(C6),IF(HOUR(B6)=HOUR(C6),1,0),0)</f>
        <v>0</v>
      </c>
    </row>
    <row r="7" customFormat="false" ht="15" hidden="false" customHeight="false" outlineLevel="0" collapsed="false">
      <c r="A7" s="7" t="s">
        <v>29</v>
      </c>
      <c r="B7" s="8" t="s">
        <v>30</v>
      </c>
      <c r="C7" s="8" t="s">
        <v>31</v>
      </c>
      <c r="D7" s="7" t="s">
        <v>15</v>
      </c>
      <c r="E7" s="7" t="s">
        <v>32</v>
      </c>
      <c r="F7" s="6" t="n">
        <f aca="false">IF(INT(B7)=INT(C7),1,0)</f>
        <v>1</v>
      </c>
      <c r="G7" s="6" t="n">
        <f aca="false">IF(INT(B7)=INT(C7),IF(HOUR(B7)=HOUR(C7),1,0),0)</f>
        <v>1</v>
      </c>
    </row>
    <row r="8" customFormat="false" ht="15" hidden="false" customHeight="false" outlineLevel="0" collapsed="false">
      <c r="A8" s="4" t="s">
        <v>33</v>
      </c>
      <c r="B8" s="5" t="s">
        <v>34</v>
      </c>
      <c r="C8" s="5" t="s">
        <v>35</v>
      </c>
      <c r="D8" s="4" t="s">
        <v>10</v>
      </c>
      <c r="E8" s="4" t="s">
        <v>36</v>
      </c>
      <c r="F8" s="6" t="n">
        <f aca="false">IF(INT(B8)=INT(C8),1,0)</f>
        <v>0</v>
      </c>
      <c r="G8" s="6" t="n">
        <f aca="false">IF(INT(B8)=INT(C8),IF(HOUR(B8)=HOUR(C8),1,0),0)</f>
        <v>0</v>
      </c>
    </row>
    <row r="9" customFormat="false" ht="15" hidden="false" customHeight="false" outlineLevel="0" collapsed="false">
      <c r="A9" s="7" t="s">
        <v>37</v>
      </c>
      <c r="B9" s="8" t="s">
        <v>38</v>
      </c>
      <c r="C9" s="8" t="s">
        <v>39</v>
      </c>
      <c r="D9" s="7" t="s">
        <v>15</v>
      </c>
      <c r="E9" s="7" t="s">
        <v>40</v>
      </c>
      <c r="F9" s="6" t="n">
        <f aca="false">IF(INT(B9)=INT(C9),1,0)</f>
        <v>1</v>
      </c>
      <c r="G9" s="6" t="n">
        <f aca="false">IF(INT(B9)=INT(C9),IF(HOUR(B9)=HOUR(C9),1,0),0)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" t="s">
        <v>4</v>
      </c>
      <c r="B1" s="1" t="s">
        <v>41</v>
      </c>
      <c r="C1" s="1" t="s">
        <v>42</v>
      </c>
      <c r="D1" s="2" t="s">
        <v>43</v>
      </c>
    </row>
    <row r="2" customFormat="false" ht="15" hidden="false" customHeight="false" outlineLevel="0" collapsed="false">
      <c r="A2" s="4" t="s">
        <v>11</v>
      </c>
      <c r="B2" s="5" t="s">
        <v>44</v>
      </c>
      <c r="C2" s="4" t="n">
        <v>3</v>
      </c>
      <c r="D2" s="9" t="str">
        <f aca="false">IFERROR(INDEX(ticket!$B:$B,MATCH(A2,ticket!$E:$E,0)),"Not Found")</f>
        <v>2021-08-19 16:45:43</v>
      </c>
    </row>
    <row r="3" customFormat="false" ht="15" hidden="false" customHeight="false" outlineLevel="0" collapsed="false">
      <c r="A3" s="7" t="s">
        <v>16</v>
      </c>
      <c r="B3" s="8" t="s">
        <v>45</v>
      </c>
      <c r="C3" s="7" t="n">
        <v>4</v>
      </c>
      <c r="D3" s="9" t="str">
        <f aca="false">IFERROR(INDEX(ticket!$B:$B,MATCH(A3,ticket!$E:$E,0)),"Not Found")</f>
        <v>2021-08-21 11:09:22</v>
      </c>
    </row>
    <row r="4" customFormat="false" ht="15" hidden="false" customHeight="false" outlineLevel="0" collapsed="false">
      <c r="A4" s="4" t="s">
        <v>20</v>
      </c>
      <c r="B4" s="5" t="s">
        <v>46</v>
      </c>
      <c r="C4" s="4" t="n">
        <v>5</v>
      </c>
      <c r="D4" s="9" t="str">
        <f aca="false">IFERROR(INDEX(ticket!$B:$B,MATCH(A4,ticket!$E:$E,0)),"Not Found")</f>
        <v>2021-09-05 08:00:00</v>
      </c>
    </row>
    <row r="5" customFormat="false" ht="15" hidden="false" customHeight="false" outlineLevel="0" collapsed="false">
      <c r="A5" s="7" t="s">
        <v>24</v>
      </c>
      <c r="B5" s="8" t="s">
        <v>47</v>
      </c>
      <c r="C5" s="7" t="n">
        <v>2</v>
      </c>
      <c r="D5" s="9" t="str">
        <f aca="false">IFERROR(INDEX(ticket!$B:$B,MATCH(A5,ticket!$E:$E,0)),"Not Found")</f>
        <v>2021-09-10 10:30:00</v>
      </c>
    </row>
    <row r="6" customFormat="false" ht="15" hidden="false" customHeight="false" outlineLevel="0" collapsed="false">
      <c r="A6" s="4" t="s">
        <v>32</v>
      </c>
      <c r="B6" s="5" t="s">
        <v>48</v>
      </c>
      <c r="C6" s="4" t="n">
        <v>4</v>
      </c>
      <c r="D6" s="9" t="str">
        <f aca="false">IFERROR(INDEX(ticket!$B:$B,MATCH(A6,ticket!$E:$E,0)),"Not Found")</f>
        <v>2021-10-01 09:15:00</v>
      </c>
    </row>
    <row r="7" customFormat="false" ht="15" hidden="false" customHeight="false" outlineLevel="0" collapsed="false">
      <c r="A7" s="7" t="s">
        <v>40</v>
      </c>
      <c r="B7" s="8" t="s">
        <v>49</v>
      </c>
      <c r="C7" s="7" t="n">
        <v>5</v>
      </c>
      <c r="D7" s="9" t="str">
        <f aca="false">IFERROR(INDEX(ticket!$B:$B,MATCH(A7,ticket!$E:$E,0)),"Not Found")</f>
        <v>2021-10-07 15:30:00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</cols>
  <sheetData>
    <row r="1" customFormat="false" ht="39.75" hidden="false" customHeight="true" outlineLevel="0" collapsed="false">
      <c r="A1" s="10" t="s">
        <v>50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 t="s">
        <v>51</v>
      </c>
      <c r="B3" s="11"/>
      <c r="C3" s="11"/>
    </row>
    <row r="4" customFormat="false" ht="15" hidden="false" customHeight="false" outlineLevel="0" collapsed="false">
      <c r="A4" s="1" t="s">
        <v>3</v>
      </c>
      <c r="B4" s="1" t="s">
        <v>52</v>
      </c>
    </row>
    <row r="5" customFormat="false" ht="15" hidden="false" customHeight="false" outlineLevel="0" collapsed="false">
      <c r="A5" s="7" t="s">
        <v>10</v>
      </c>
      <c r="B5" s="12" t="n">
        <f aca="false">COUNTIFS(ticket!$D:$D,A5,ticket!$F:$F,1)</f>
        <v>1</v>
      </c>
    </row>
    <row r="6" customFormat="false" ht="15" hidden="false" customHeight="false" outlineLevel="0" collapsed="false">
      <c r="A6" s="4" t="s">
        <v>15</v>
      </c>
      <c r="B6" s="12" t="n">
        <f aca="false">COUNTIFS(ticket!$D:$D,A6,ticket!$F:$F,1)</f>
        <v>4</v>
      </c>
    </row>
    <row r="9" customFormat="false" ht="15" hidden="false" customHeight="false" outlineLevel="0" collapsed="false">
      <c r="A9" s="11" t="s">
        <v>53</v>
      </c>
      <c r="B9" s="11"/>
      <c r="C9" s="11"/>
    </row>
    <row r="10" customFormat="false" ht="15" hidden="false" customHeight="false" outlineLevel="0" collapsed="false">
      <c r="A10" s="1" t="s">
        <v>3</v>
      </c>
      <c r="B10" s="1" t="s">
        <v>54</v>
      </c>
    </row>
    <row r="11" customFormat="false" ht="15" hidden="false" customHeight="false" outlineLevel="0" collapsed="false">
      <c r="A11" s="7" t="s">
        <v>10</v>
      </c>
      <c r="B11" s="12" t="n">
        <f aca="false">COUNTIFS(ticket!$D:$D,A11,ticket!$G:$G,1)</f>
        <v>1</v>
      </c>
    </row>
    <row r="12" customFormat="false" ht="15" hidden="false" customHeight="false" outlineLevel="0" collapsed="false">
      <c r="A12" s="4" t="s">
        <v>15</v>
      </c>
      <c r="B12" s="12" t="n">
        <f aca="false">COUNTIFS(ticket!$D:$D,A12,ticket!$G:$G,1)</f>
        <v>2</v>
      </c>
    </row>
    <row r="15" customFormat="false" ht="15" hidden="false" customHeight="false" outlineLevel="0" collapsed="false">
      <c r="A15" s="13" t="s">
        <v>55</v>
      </c>
    </row>
    <row r="16" customFormat="false" ht="15" hidden="false" customHeight="false" outlineLevel="0" collapsed="false">
      <c r="A16" s="14" t="s">
        <v>56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4" t="s">
        <v>57</v>
      </c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4" t="s">
        <v>58</v>
      </c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4" t="s">
        <v>59</v>
      </c>
      <c r="B19" s="14"/>
      <c r="C19" s="14"/>
      <c r="D19" s="14"/>
      <c r="E19" s="14"/>
      <c r="F19" s="14"/>
    </row>
  </sheetData>
  <mergeCells count="7">
    <mergeCell ref="A1:F1"/>
    <mergeCell ref="A3:C3"/>
    <mergeCell ref="A9:C9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2026-04-08T19:14:05Z</dcterms:created>
  <dc:creator>openpyxl</dc:creator>
  <dc:description/>
  <dc:language>en-US</dc:language>
  <cp:lastModifiedBy/>
  <dcterms:modified xsi:type="dcterms:W3CDTF">2026-04-08T19:14:05Z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